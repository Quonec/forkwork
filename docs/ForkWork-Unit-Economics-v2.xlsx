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лож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Выручка на заказ" sheetId="3" state="visible" r:id="rId3"/>
    <sheet xmlns:r="http://schemas.openxmlformats.org/officeDocument/2006/relationships" name="CAC" sheetId="4" state="visible" r:id="rId4"/>
    <sheet xmlns:r="http://schemas.openxmlformats.org/officeDocument/2006/relationships" name="Когорты LTV" sheetId="5" state="visible" r:id="rId5"/>
    <sheet xmlns:r="http://schemas.openxmlformats.org/officeDocument/2006/relationships" name="Юнит-экономика" sheetId="6" state="visible" r:id="rId6"/>
    <sheet xmlns:r="http://schemas.openxmlformats.org/officeDocument/2006/relationships" name="Экономика района" sheetId="7" state="visible" r:id="rId7"/>
    <sheet xmlns:r="http://schemas.openxmlformats.org/officeDocument/2006/relationships" name="Чувствительност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₽&quot;"/>
    <numFmt numFmtId="165" formatCode="0.0"/>
    <numFmt numFmtId="166" formatCode="0.0%"/>
    <numFmt numFmtId="167" formatCode="#,##0.0&quot; ₽&quot;"/>
    <numFmt numFmtId="168" formatCode="0.0&quot;×&quot;"/>
    <numFmt numFmtId="169" formatCode="0.0&quot; мес&quot;"/>
  </numFmts>
  <fonts count="11">
    <font>
      <name val="Calibri"/>
      <family val="2"/>
      <color theme="1"/>
      <sz val="11"/>
      <scheme val="minor"/>
    </font>
    <font>
      <b val="1"/>
      <color rgb="009F651E"/>
      <sz val="26"/>
    </font>
    <font>
      <b val="1"/>
      <sz val="14"/>
    </font>
    <font>
      <b val="1"/>
      <color rgb="001F4E79"/>
    </font>
    <font>
      <i val="1"/>
      <color rgb="00B3452C"/>
      <sz val="9"/>
    </font>
    <font>
      <b val="1"/>
      <color rgb="009F651E"/>
      <sz val="14"/>
    </font>
    <font>
      <color rgb="006D5E45"/>
      <sz val="9"/>
    </font>
    <font>
      <b val="1"/>
      <color rgb="009F651E"/>
      <sz val="11"/>
    </font>
    <font>
      <color rgb="009B8A6C"/>
      <sz val="8"/>
    </font>
    <font>
      <b val="1"/>
      <color rgb="009F651E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F7F1E4"/>
      </patternFill>
    </fill>
    <fill>
      <patternFill patternType="solid">
        <fgColor rgb="00C9822F"/>
      </patternFill>
    </fill>
  </fills>
  <borders count="2">
    <border>
      <left/>
      <right/>
      <top/>
      <bottom/>
      <diagonal/>
    </border>
    <border>
      <left style="thin">
        <color rgb="00E5D8BD"/>
      </left>
      <right style="thin">
        <color rgb="00E5D8BD"/>
      </right>
      <top style="thin">
        <color rgb="00E5D8BD"/>
      </top>
      <bottom style="thin">
        <color rgb="00E5D8B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164" fontId="3" fillId="2" borderId="1" pivotButton="0" quotePrefix="0" xfId="0"/>
    <xf numFmtId="0" fontId="8" fillId="0" borderId="0" pivotButton="0" quotePrefix="0" xfId="0"/>
    <xf numFmtId="165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49" fontId="3" fillId="2" borderId="1" pivotButton="0" quotePrefix="0" xfId="0"/>
    <xf numFmtId="167" fontId="0" fillId="0" borderId="1" pivotButton="0" quotePrefix="0" xfId="0"/>
    <xf numFmtId="167" fontId="9" fillId="0" borderId="1" pivotButton="0" quotePrefix="0" xfId="0"/>
    <xf numFmtId="166" fontId="9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0" fontId="10" fillId="4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9" fillId="0" borderId="0" pivotButton="0" quotePrefix="0" xfId="0"/>
    <xf numFmtId="164" fontId="9" fillId="0" borderId="0" pivotButton="0" quotePrefix="0" xfId="0"/>
    <xf numFmtId="164" fontId="0" fillId="0" borderId="0" pivotButton="0" quotePrefix="0" xfId="0"/>
    <xf numFmtId="168" fontId="9" fillId="0" borderId="1" pivotButton="0" quotePrefix="0" xfId="0"/>
    <xf numFmtId="169" fontId="9" fillId="0" borderId="1" pivotButton="0" quotePrefix="0" xfId="0"/>
    <xf numFmtId="3" fontId="0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10" fillId="4" borderId="0" pivotButton="0" quotePrefix="0" xfId="0"/>
    <xf numFmtId="164" fontId="10" fillId="4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13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3">
      <c r="B3" s="1" t="inlineStr">
        <is>
          <t>ForkWork</t>
        </is>
      </c>
    </row>
    <row r="4">
      <c r="B4" s="2" t="inlineStr">
        <is>
          <t>Юнит-экономика v2 — вычисляемая модель</t>
        </is>
      </c>
    </row>
    <row r="6">
      <c r="B6" t="inlineStr">
        <is>
          <t>Принцип: ни одной экспертной константы в результатах.</t>
        </is>
      </c>
    </row>
    <row r="7">
      <c r="B7" t="inlineStr">
        <is>
          <t>LTV, CAC, take-rate и окупаемость района выводятся формулами из листа «Допущения».</t>
        </is>
      </c>
    </row>
    <row r="9">
      <c r="B9" s="3" t="inlineStr">
        <is>
          <t>Синяя ячейка = ввод (меняйте). Белая = формула (не трогать).</t>
        </is>
      </c>
    </row>
    <row r="11">
      <c r="B11" t="inlineStr">
        <is>
          <t>Листы: Допущения → Выручка на заказ → CAC → Когорты LTV → Юнит-экономика → Экономика района → Чувствительность</t>
        </is>
      </c>
    </row>
    <row r="13">
      <c r="B13" s="4" t="inlineStr">
        <is>
          <t>Дисклеймер: модель иллюстративная, для планирования пилота; факты пилота заменят допущения.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4" customWidth="1" min="3" max="3"/>
    <col width="78" customWidth="1" min="4" max="4"/>
  </cols>
  <sheetData>
    <row r="1">
      <c r="A1" s="5" t="inlineStr">
        <is>
          <t>Допущения — единственный источник ввода</t>
        </is>
      </c>
    </row>
    <row r="2">
      <c r="A2" s="6" t="inlineStr">
        <is>
          <t>Каждое число ниже имеет обоснование в колонке D; всё остальное в книге — формулы</t>
        </is>
      </c>
    </row>
    <row r="4">
      <c r="B4" s="7" t="inlineStr">
        <is>
          <t>СПРОС И ПОВЕДЕНИЕ КЛИЕНТА</t>
        </is>
      </c>
      <c r="C4" s="8" t="n"/>
      <c r="D4" s="8" t="n"/>
    </row>
    <row r="5">
      <c r="B5" s="9" t="inlineStr">
        <is>
          <t>Средний чек (AOV), ₽</t>
        </is>
      </c>
      <c r="C5" s="10" t="n">
        <v>1250</v>
      </c>
      <c r="D5" s="11" t="inlineStr">
        <is>
          <t>Средний между «обед на одного» (~600) и «ужин на семью» (~2000); проверяется пилотом</t>
        </is>
      </c>
    </row>
    <row r="6">
      <c r="B6" s="9" t="inlineStr">
        <is>
          <t>Заказов в месяц на активного клиента</t>
        </is>
      </c>
      <c r="C6" s="12" t="n">
        <v>2.4</v>
      </c>
      <c r="D6" s="11" t="inlineStr">
        <is>
          <t>Еда — частотная категория: 2–3 заказа/мес у нишевых фуд-сервисов; консервативно ниже агрегаторов (4–6)</t>
        </is>
      </c>
    </row>
    <row r="7">
      <c r="B7" s="9" t="inlineStr">
        <is>
          <t>Удержание: доля месяца 2 (M2)</t>
        </is>
      </c>
      <c r="C7" s="13" t="n">
        <v>0.86</v>
      </c>
      <c r="D7" s="11" t="inlineStr">
        <is>
          <t>Геометрический спад: каждый месяц остаётся 86% от предыдущего — до пола</t>
        </is>
      </c>
    </row>
    <row r="8">
      <c r="B8" s="9" t="inlineStr">
        <is>
          <t>Удержание: пол (лояльное ядро)</t>
        </is>
      </c>
      <c r="C8" s="13" t="n">
        <v>0.2</v>
      </c>
      <c r="D8" s="11" t="inlineStr">
        <is>
          <t>20% становятся постоянными («свой повар») — эффект локальной привычки</t>
        </is>
      </c>
    </row>
    <row r="9">
      <c r="B9" s="9" t="inlineStr">
        <is>
          <t>Горизонт LTV, месяцев</t>
        </is>
      </c>
      <c r="C9" s="14" t="n">
        <v>24</v>
      </c>
      <c r="D9" s="11" t="inlineStr">
        <is>
          <t>Стандартный горизонт для маркетплейсов на seed-стадии</t>
        </is>
      </c>
    </row>
    <row r="11">
      <c r="B11" s="7" t="inlineStr">
        <is>
          <t>ВЫРУЧКА ПЛАТФОРМЫ (по потокам)</t>
        </is>
      </c>
      <c r="C11" s="8" t="n"/>
      <c r="D11" s="8" t="n"/>
    </row>
    <row r="12">
      <c r="B12" s="9" t="inlineStr">
        <is>
          <t>Комиссия с заказа</t>
        </is>
      </c>
      <c r="C12" s="13" t="n">
        <v>0.1</v>
      </c>
      <c r="D12" s="11" t="inlineStr">
        <is>
          <t>Зафиксирована в продукте (PLATFORM_FEE=0.1) — козырь против 25–35% агрегаторов</t>
        </is>
      </c>
    </row>
    <row r="13">
      <c r="B13" s="9" t="inlineStr">
        <is>
          <t>SaaS-подписка повара, ₽/мес</t>
        </is>
      </c>
      <c r="C13" s="10" t="n">
        <v>9900</v>
      </c>
      <c r="D13" s="11" t="inlineStr">
        <is>
          <t>Тариф «Профи»: аналитика, продвижение, записи эфиров</t>
        </is>
      </c>
    </row>
    <row r="14">
      <c r="B14" s="9" t="inlineStr">
        <is>
          <t>Заказов на повара в месяц</t>
        </is>
      </c>
      <c r="C14" s="14" t="n">
        <v>160</v>
      </c>
      <c r="D14" s="11" t="inlineStr">
        <is>
          <t>5–6 заказов/день на активного повара — уровень занятости «частичный день»</t>
        </is>
      </c>
    </row>
    <row r="15">
      <c r="B15" s="9" t="inlineStr">
        <is>
          <t>Featured-размещения, ₽/мес на повара</t>
        </is>
      </c>
      <c r="C15" s="10" t="n">
        <v>2500</v>
      </c>
      <c r="D15" s="11" t="inlineStr">
        <is>
          <t>Средний расход повара на буст карточки/эфира</t>
        </is>
      </c>
    </row>
    <row r="16">
      <c r="B16" s="9" t="inlineStr">
        <is>
          <t>Премиум-подписка клиента, ₽/мес</t>
        </is>
      </c>
      <c r="C16" s="10" t="n">
        <v>399</v>
      </c>
      <c r="D16" s="11" t="inlineStr">
        <is>
          <t>Бесплатная доставка + ранний доступ к эфирам</t>
        </is>
      </c>
    </row>
    <row r="17">
      <c r="B17" s="9" t="inlineStr">
        <is>
          <t>Доля клиентов на премиуме</t>
        </is>
      </c>
      <c r="C17" s="13" t="n">
        <v>0.08</v>
      </c>
      <c r="D17" s="11" t="inlineStr">
        <is>
          <t>Консервативно: у зрелых сервисов 10–15%</t>
        </is>
      </c>
    </row>
    <row r="19">
      <c r="B19" s="7" t="inlineStr">
        <is>
          <t>ПЕРЕМЕННЫЕ ЗАТРАТЫ НА ЗАКАЗ</t>
        </is>
      </c>
      <c r="C19" s="8" t="n"/>
      <c r="D19" s="8" t="n"/>
    </row>
    <row r="20">
      <c r="B20" s="9" t="inlineStr">
        <is>
          <t>Эквайринг, % от чека</t>
        </is>
      </c>
      <c r="C20" s="13" t="n">
        <v>0.026</v>
      </c>
      <c r="D20" s="11" t="inlineStr">
        <is>
          <t>Ставка интернет-эквайринга ЮKassa/CloudPayments для малого бизнеса</t>
        </is>
      </c>
    </row>
    <row r="21">
      <c r="B21" s="9" t="inlineStr">
        <is>
          <t>Поддержка и операции, ₽/заказ</t>
        </is>
      </c>
      <c r="C21" s="10" t="n">
        <v>12</v>
      </c>
      <c r="D21" s="11" t="inlineStr">
        <is>
          <t>Амортизация саппорта: 1 обращение на ~25 заказов × себестоимость обращения ~300 ₽</t>
        </is>
      </c>
    </row>
    <row r="22">
      <c r="B22" s="9" t="inlineStr">
        <is>
          <t>Доля менеджера района от комиссии</t>
        </is>
      </c>
      <c r="C22" s="13" t="n">
        <v>0.1</v>
      </c>
      <c r="D22" s="11" t="inlineStr">
        <is>
          <t>Мотивация менеджера-партнёра — платится из комиссии платформы</t>
        </is>
      </c>
    </row>
    <row r="24">
      <c r="B24" s="7" t="inlineStr">
        <is>
          <t>CAC ПО КАНАЛАМ (веса и параметры)</t>
        </is>
      </c>
      <c r="C24" s="8" t="n"/>
      <c r="D24" s="8" t="n"/>
    </row>
    <row r="25">
      <c r="B25" s="9" t="inlineStr">
        <is>
          <t>Таргет (VK/Директ): CPC, ₽</t>
        </is>
      </c>
      <c r="C25" s="10" t="n">
        <v>28</v>
      </c>
      <c r="D25" s="11" t="inlineStr">
        <is>
          <t>Средний CPC фуд-тематики в городах-миллионниках</t>
        </is>
      </c>
    </row>
    <row r="26">
      <c r="B26" s="9" t="inlineStr">
        <is>
          <t>Таргет: конверсия клик → регистрация</t>
        </is>
      </c>
      <c r="C26" s="13" t="n">
        <v>0.07000000000000001</v>
      </c>
      <c r="D26" s="11" t="inlineStr">
        <is>
          <t>Посадочная с живым эфиром; бенчмарк лендингов еды 5–10%</t>
        </is>
      </c>
    </row>
    <row r="27">
      <c r="B27" s="9" t="inlineStr">
        <is>
          <t>Таргет: конверсия регистрация → 1-й заказ</t>
        </is>
      </c>
      <c r="C27" s="13" t="n">
        <v>0.38</v>
      </c>
      <c r="D27" s="11" t="inlineStr">
        <is>
          <t>Приветственные 500 FC снижают порог первого заказа</t>
        </is>
      </c>
    </row>
    <row r="28">
      <c r="B28" s="9" t="inlineStr">
        <is>
          <t>Рефералка: бонус обоим, ₽ (2×300 FC)</t>
        </is>
      </c>
      <c r="C28" s="10" t="n">
        <v>600</v>
      </c>
      <c r="D28" s="11" t="inlineStr">
        <is>
          <t>Начисляется после первого заказа приглашённого — не тратится вхолостую</t>
        </is>
      </c>
    </row>
    <row r="29">
      <c r="B29" s="9" t="inlineStr">
        <is>
          <t>Рефералка: доля дошедших до заказа</t>
        </is>
      </c>
      <c r="C29" s="13" t="n">
        <v>0.85</v>
      </c>
      <c r="D29" s="11" t="inlineStr">
        <is>
          <t>Бонус привязан к заказу, поэтому активация высокая</t>
        </is>
      </c>
    </row>
    <row r="30">
      <c r="B30" s="9" t="inlineStr">
        <is>
          <t>Посевы в районе: бюджет, ₽/мес</t>
        </is>
      </c>
      <c r="C30" s="10" t="n">
        <v>40000</v>
      </c>
      <c r="D30" s="11" t="inlineStr">
        <is>
          <t>Районные чаты, листовки с QR, дегустации у поваров</t>
        </is>
      </c>
    </row>
    <row r="31">
      <c r="B31" s="9" t="inlineStr">
        <is>
          <t>Посевы: новых клиентов в месяц</t>
        </is>
      </c>
      <c r="C31" s="14" t="n">
        <v>55</v>
      </c>
      <c r="D31" s="11" t="inlineStr">
        <is>
          <t>Оценка по охвату районных сообществ (5–15 тыс. человек)</t>
        </is>
      </c>
    </row>
    <row r="32">
      <c r="B32" s="9" t="inlineStr">
        <is>
          <t>SEO-контент: бюджет, ₽/мес</t>
        </is>
      </c>
      <c r="C32" s="10" t="n">
        <v>18000</v>
      </c>
      <c r="D32" s="11" t="inlineStr">
        <is>
          <t>Амортизация производства рецептов-посадочных (делает Claude)</t>
        </is>
      </c>
    </row>
    <row r="33">
      <c r="B33" s="9" t="inlineStr">
        <is>
          <t>SEO: новых клиентов в месяц</t>
        </is>
      </c>
      <c r="C33" s="14" t="n">
        <v>120</v>
      </c>
      <c r="D33" s="11" t="inlineStr">
        <is>
          <t>После индексации 100+ рецептов; маржинальная стоимость → 0</t>
        </is>
      </c>
    </row>
    <row r="34">
      <c r="B34" s="9" t="inlineStr">
        <is>
          <t>Веса каналов: таргет / рефералка / посевы / SEO</t>
        </is>
      </c>
      <c r="C34" s="15" t="inlineStr">
        <is>
          <t>30/25/25/20</t>
        </is>
      </c>
      <c r="D34" s="11" t="inlineStr">
        <is>
          <t>Структура привлечения на этапе пилота</t>
        </is>
      </c>
    </row>
    <row r="35">
      <c r="B35" s="9" t="inlineStr">
        <is>
          <t>Вес: таргет</t>
        </is>
      </c>
      <c r="C35" s="13" t="n">
        <v>0.3</v>
      </c>
    </row>
    <row r="36">
      <c r="B36" s="9" t="inlineStr">
        <is>
          <t>Вес: рефералка</t>
        </is>
      </c>
      <c r="C36" s="13" t="n">
        <v>0.25</v>
      </c>
    </row>
    <row r="37">
      <c r="B37" s="9" t="inlineStr">
        <is>
          <t>Вес: посевы</t>
        </is>
      </c>
      <c r="C37" s="13" t="n">
        <v>0.25</v>
      </c>
    </row>
    <row r="38">
      <c r="B38" s="9" t="inlineStr">
        <is>
          <t>Вес: SEO</t>
        </is>
      </c>
      <c r="C38" s="13" t="n">
        <v>0.2</v>
      </c>
    </row>
    <row r="39">
      <c r="B39" s="9" t="inlineStr">
        <is>
          <t>Накладные на привлечение (аналитика, инструменты)</t>
        </is>
      </c>
      <c r="C39" s="13" t="n">
        <v>0.12</v>
      </c>
      <c r="D39" s="11" t="inlineStr">
        <is>
          <t>Надбавка к смешанному CAC</t>
        </is>
      </c>
    </row>
    <row r="41">
      <c r="B41" s="7" t="inlineStr">
        <is>
          <t>ЭКОНОМИКА РАЙОНА</t>
        </is>
      </c>
      <c r="C41" s="8" t="n"/>
      <c r="D41" s="8" t="n"/>
    </row>
    <row r="42">
      <c r="B42" s="9" t="inlineStr">
        <is>
          <t>Целевые заказы/день района (плато)</t>
        </is>
      </c>
      <c r="C42" s="14" t="n">
        <v>40</v>
      </c>
      <c r="D42" s="11" t="inlineStr">
        <is>
          <t>10 поваров × 4–6 заказов/день = целевая загрузка района</t>
        </is>
      </c>
    </row>
    <row r="43">
      <c r="B43" s="9" t="inlineStr">
        <is>
          <t>Месяцев до плато</t>
        </is>
      </c>
      <c r="C43" s="14" t="n">
        <v>6</v>
      </c>
      <c r="D43" s="11" t="inlineStr">
        <is>
          <t>S-образный разгон: посевы + сарафан + эфиры</t>
        </is>
      </c>
    </row>
    <row r="44">
      <c r="B44" s="9" t="inlineStr">
        <is>
          <t>Маркетинг района, ₽/мес</t>
        </is>
      </c>
      <c r="C44" s="10" t="n">
        <v>55000</v>
      </c>
      <c r="D44" s="11" t="inlineStr">
        <is>
          <t>Посевы 40к + доля таргета 15к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5" customWidth="1" min="3" max="3"/>
    <col width="66" customWidth="1" min="4" max="4"/>
  </cols>
  <sheetData>
    <row r="1">
      <c r="A1" s="5" t="inlineStr">
        <is>
          <t>Выручка и вклад на один заказ</t>
        </is>
      </c>
    </row>
    <row r="2">
      <c r="A2" s="6" t="inlineStr">
        <is>
          <t>Take-rate здесь — результат, а не допущение</t>
        </is>
      </c>
    </row>
    <row r="4">
      <c r="B4" s="7" t="inlineStr">
        <is>
          <t>ВЫРУЧКА ПЛАТФОРМЫ НА ЗАКАЗ</t>
        </is>
      </c>
      <c r="C4" s="8" t="n"/>
      <c r="D4" s="8" t="n"/>
    </row>
    <row r="5">
      <c r="B5" s="9" t="inlineStr">
        <is>
          <t>Комиссия с заказа, ₽</t>
        </is>
      </c>
      <c r="C5" s="16">
        <f>'Допущения'!$C$5*'Допущения'!$C$12</f>
        <v/>
      </c>
      <c r="D5" s="11" t="inlineStr">
        <is>
          <t>AOV × комиссия</t>
        </is>
      </c>
    </row>
    <row r="6">
      <c r="B6" s="9" t="inlineStr">
        <is>
          <t>SaaS на заказ, ₽</t>
        </is>
      </c>
      <c r="C6" s="16">
        <f>'Допущения'!$C$13/'Допущения'!$C$14</f>
        <v/>
      </c>
      <c r="D6" s="11" t="inlineStr">
        <is>
          <t>подписка повара / его заказы в месяц</t>
        </is>
      </c>
    </row>
    <row r="7">
      <c r="B7" s="9" t="inlineStr">
        <is>
          <t>Featured на заказ, ₽</t>
        </is>
      </c>
      <c r="C7" s="16">
        <f>'Допущения'!$C$15/'Допущения'!$C$14</f>
        <v/>
      </c>
      <c r="D7" s="11" t="inlineStr">
        <is>
          <t>буст-бюджет повара / его заказы</t>
        </is>
      </c>
    </row>
    <row r="8">
      <c r="B8" s="9" t="inlineStr">
        <is>
          <t>Премиум на заказ, ₽</t>
        </is>
      </c>
      <c r="C8" s="16">
        <f>'Допущения'!$C$17*'Допущения'!$C$16/'Допущения'!$C$6</f>
        <v/>
      </c>
      <c r="D8" s="11" t="inlineStr">
        <is>
          <t>доля премиум-клиентов × цена / заказы клиента в месяц</t>
        </is>
      </c>
    </row>
    <row r="9">
      <c r="B9" s="9" t="inlineStr">
        <is>
          <t>ИТОГО выручка платформы на заказ, ₽</t>
        </is>
      </c>
      <c r="C9" s="17">
        <f>SUM(C5:C8)</f>
        <v/>
      </c>
    </row>
    <row r="10">
      <c r="B10" s="9" t="inlineStr">
        <is>
          <t>Эффективный take-rate (вычислен)</t>
        </is>
      </c>
      <c r="C10" s="18">
        <f>C9/'Допущения'!$C$5</f>
        <v/>
      </c>
      <c r="D10" s="11" t="inlineStr">
        <is>
          <t>ранее в модели была экспертная константа 18,55% — теперь считается</t>
        </is>
      </c>
    </row>
    <row r="12">
      <c r="B12" s="7" t="inlineStr">
        <is>
          <t>ПЕРЕМЕННЫЕ ЗАТРАТЫ НА ЗАКАЗ</t>
        </is>
      </c>
      <c r="C12" s="8" t="n"/>
      <c r="D12" s="8" t="n"/>
    </row>
    <row r="13">
      <c r="B13" s="9" t="inlineStr">
        <is>
          <t>Эквайринг, ₽</t>
        </is>
      </c>
      <c r="C13" s="16">
        <f>'Допущения'!$C$5*'Допущения'!$C$20</f>
        <v/>
      </c>
    </row>
    <row r="14">
      <c r="B14" s="9" t="inlineStr">
        <is>
          <t>Поддержка и операции, ₽</t>
        </is>
      </c>
      <c r="C14" s="16">
        <f>'Допущения'!$C$21</f>
        <v/>
      </c>
    </row>
    <row r="15">
      <c r="B15" s="9" t="inlineStr">
        <is>
          <t>Доля менеджера района, ₽</t>
        </is>
      </c>
      <c r="C15" s="16">
        <f>'Допущения'!$C$5*'Допущения'!$C$12*'Допущения'!$C$22</f>
        <v/>
      </c>
    </row>
    <row r="16">
      <c r="B16" s="9" t="inlineStr">
        <is>
          <t>ИТОГО затраты на заказ, ₽</t>
        </is>
      </c>
      <c r="C16" s="16">
        <f>SUM(C13:C15)</f>
        <v/>
      </c>
    </row>
    <row r="18">
      <c r="B18" s="9" t="inlineStr">
        <is>
          <t>ВКЛАД (contribution) на заказ, ₽</t>
        </is>
      </c>
      <c r="C18" s="17">
        <f>C9-C16</f>
        <v/>
      </c>
    </row>
    <row r="19">
      <c r="B19" s="9" t="inlineStr">
        <is>
          <t>Маржа платформы от своей выручки</t>
        </is>
      </c>
      <c r="C19" s="19">
        <f>C18/C9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5" customWidth="1" min="3" max="3"/>
    <col width="66" customWidth="1" min="4" max="4"/>
  </cols>
  <sheetData>
    <row r="1">
      <c r="A1" s="5" t="inlineStr">
        <is>
          <t>Стоимость привлечения клиента — по каналам</t>
        </is>
      </c>
    </row>
    <row r="2">
      <c r="A2" s="6" t="inlineStr">
        <is>
          <t>Смешанный CAC = взвешенная сумма каналов + накладные</t>
        </is>
      </c>
    </row>
    <row r="4">
      <c r="B4" s="7" t="inlineStr">
        <is>
          <t>СТОИМОСТЬ КАНАЛОВ</t>
        </is>
      </c>
      <c r="C4" s="8" t="n"/>
      <c r="D4" s="8" t="n"/>
    </row>
    <row r="5">
      <c r="B5" s="9" t="inlineStr">
        <is>
          <t>Таргет: CAC, ₽</t>
        </is>
      </c>
      <c r="C5" s="20">
        <f>'Допущения'!$C$25/('Допущения'!$C$26*'Допущения'!$C$27)</f>
        <v/>
      </c>
      <c r="D5" s="11" t="inlineStr">
        <is>
          <t>CPC / (CR клик→рег × CR рег→заказ)</t>
        </is>
      </c>
    </row>
    <row r="6">
      <c r="B6" s="9" t="inlineStr">
        <is>
          <t>Рефералка: CAC, ₽</t>
        </is>
      </c>
      <c r="C6" s="20">
        <f>'Допущения'!$C$28/'Допущения'!$C$29</f>
        <v/>
      </c>
      <c r="D6" s="11" t="inlineStr">
        <is>
          <t>бонусы / доля активации</t>
        </is>
      </c>
    </row>
    <row r="7">
      <c r="B7" s="9" t="inlineStr">
        <is>
          <t>Посевы района: CAC, ₽</t>
        </is>
      </c>
      <c r="C7" s="20">
        <f>'Допущения'!$C$30/'Допущения'!$C$31</f>
        <v/>
      </c>
      <c r="D7" s="11" t="inlineStr">
        <is>
          <t>бюджет / приведённые клиенты</t>
        </is>
      </c>
    </row>
    <row r="8">
      <c r="B8" s="9" t="inlineStr">
        <is>
          <t>SEO-контент: CAC, ₽</t>
        </is>
      </c>
      <c r="C8" s="20">
        <f>'Допущения'!$C$32/'Допущения'!$C$33</f>
        <v/>
      </c>
      <c r="D8" s="11" t="inlineStr">
        <is>
          <t>бюджет контента / клиенты из поиска</t>
        </is>
      </c>
    </row>
    <row r="10">
      <c r="B10" s="7" t="inlineStr">
        <is>
          <t>СМЕШАННЫЙ CAC</t>
        </is>
      </c>
      <c r="C10" s="8" t="n"/>
      <c r="D10" s="8" t="n"/>
    </row>
    <row r="11">
      <c r="B11" s="9" t="inlineStr">
        <is>
          <t>Взвешенный CAC, ₽</t>
        </is>
      </c>
      <c r="C11" s="20">
        <f>C5*'Допущения'!$C$35+C6*'Допущения'!$C$36+C7*'Допущения'!$C$37+C8*'Допущения'!$C$38</f>
        <v/>
      </c>
    </row>
    <row r="12">
      <c r="B12" s="9" t="inlineStr">
        <is>
          <t>CAC с накладными, ₽</t>
        </is>
      </c>
      <c r="C12" s="21">
        <f>C11*(1+'Допущения'!$C$39)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Когорта из 100 клиентов на горизонте 24 месяцев</t>
        </is>
      </c>
    </row>
    <row r="2">
      <c r="A2" s="6" t="inlineStr">
        <is>
          <t>Retention: M1=100%, далее ×decay до пола; LTV = накопленный вклад на клиента</t>
        </is>
      </c>
    </row>
    <row r="4">
      <c r="B4" s="22" t="inlineStr">
        <is>
          <t>Месяц</t>
        </is>
      </c>
      <c r="C4" s="22" t="inlineStr">
        <is>
          <t>Retention</t>
        </is>
      </c>
      <c r="D4" s="22" t="inlineStr">
        <is>
          <t>Активных из 100</t>
        </is>
      </c>
      <c r="E4" s="22" t="inlineStr">
        <is>
          <t>Заказов</t>
        </is>
      </c>
      <c r="F4" s="22" t="inlineStr">
        <is>
          <t>Вклад когорты, ₽</t>
        </is>
      </c>
      <c r="G4" s="22" t="inlineStr">
        <is>
          <t>LTV накопл., ₽/клиент</t>
        </is>
      </c>
    </row>
    <row r="5">
      <c r="B5" s="23" t="n">
        <v>1</v>
      </c>
      <c r="C5" s="19" t="n">
        <v>1</v>
      </c>
      <c r="D5" s="24">
        <f>100*C5</f>
        <v/>
      </c>
      <c r="E5" s="24">
        <f>D5*'Допущения'!$C$6</f>
        <v/>
      </c>
      <c r="F5" s="20">
        <f>E5*'Выручка на заказ'!$C$18</f>
        <v/>
      </c>
      <c r="G5" s="20">
        <f>F5/100</f>
        <v/>
      </c>
    </row>
    <row r="6">
      <c r="B6" s="23" t="n">
        <v>2</v>
      </c>
      <c r="C6" s="19">
        <f>MAX('Допущения'!$C$8,C5*'Допущения'!$C$7)</f>
        <v/>
      </c>
      <c r="D6" s="24">
        <f>100*C6</f>
        <v/>
      </c>
      <c r="E6" s="24">
        <f>D6*'Допущения'!$C$6</f>
        <v/>
      </c>
      <c r="F6" s="20">
        <f>E6*'Выручка на заказ'!$C$18</f>
        <v/>
      </c>
      <c r="G6" s="20">
        <f>G5+F6/100</f>
        <v/>
      </c>
    </row>
    <row r="7">
      <c r="B7" s="23" t="n">
        <v>3</v>
      </c>
      <c r="C7" s="19">
        <f>MAX('Допущения'!$C$8,C6*'Допущения'!$C$7)</f>
        <v/>
      </c>
      <c r="D7" s="24">
        <f>100*C7</f>
        <v/>
      </c>
      <c r="E7" s="24">
        <f>D7*'Допущения'!$C$6</f>
        <v/>
      </c>
      <c r="F7" s="20">
        <f>E7*'Выручка на заказ'!$C$18</f>
        <v/>
      </c>
      <c r="G7" s="20">
        <f>G6+F7/100</f>
        <v/>
      </c>
    </row>
    <row r="8">
      <c r="B8" s="23" t="n">
        <v>4</v>
      </c>
      <c r="C8" s="19">
        <f>MAX('Допущения'!$C$8,C7*'Допущения'!$C$7)</f>
        <v/>
      </c>
      <c r="D8" s="24">
        <f>100*C8</f>
        <v/>
      </c>
      <c r="E8" s="24">
        <f>D8*'Допущения'!$C$6</f>
        <v/>
      </c>
      <c r="F8" s="20">
        <f>E8*'Выручка на заказ'!$C$18</f>
        <v/>
      </c>
      <c r="G8" s="20">
        <f>G7+F8/100</f>
        <v/>
      </c>
    </row>
    <row r="9">
      <c r="B9" s="23" t="n">
        <v>5</v>
      </c>
      <c r="C9" s="19">
        <f>MAX('Допущения'!$C$8,C8*'Допущения'!$C$7)</f>
        <v/>
      </c>
      <c r="D9" s="24">
        <f>100*C9</f>
        <v/>
      </c>
      <c r="E9" s="24">
        <f>D9*'Допущения'!$C$6</f>
        <v/>
      </c>
      <c r="F9" s="20">
        <f>E9*'Выручка на заказ'!$C$18</f>
        <v/>
      </c>
      <c r="G9" s="20">
        <f>G8+F9/100</f>
        <v/>
      </c>
    </row>
    <row r="10">
      <c r="B10" s="23" t="n">
        <v>6</v>
      </c>
      <c r="C10" s="19">
        <f>MAX('Допущения'!$C$8,C9*'Допущения'!$C$7)</f>
        <v/>
      </c>
      <c r="D10" s="24">
        <f>100*C10</f>
        <v/>
      </c>
      <c r="E10" s="24">
        <f>D10*'Допущения'!$C$6</f>
        <v/>
      </c>
      <c r="F10" s="20">
        <f>E10*'Выручка на заказ'!$C$18</f>
        <v/>
      </c>
      <c r="G10" s="20">
        <f>G9+F10/100</f>
        <v/>
      </c>
    </row>
    <row r="11">
      <c r="B11" s="23" t="n">
        <v>7</v>
      </c>
      <c r="C11" s="19">
        <f>MAX('Допущения'!$C$8,C10*'Допущения'!$C$7)</f>
        <v/>
      </c>
      <c r="D11" s="24">
        <f>100*C11</f>
        <v/>
      </c>
      <c r="E11" s="24">
        <f>D11*'Допущения'!$C$6</f>
        <v/>
      </c>
      <c r="F11" s="20">
        <f>E11*'Выручка на заказ'!$C$18</f>
        <v/>
      </c>
      <c r="G11" s="20">
        <f>G10+F11/100</f>
        <v/>
      </c>
    </row>
    <row r="12">
      <c r="B12" s="23" t="n">
        <v>8</v>
      </c>
      <c r="C12" s="19">
        <f>MAX('Допущения'!$C$8,C11*'Допущения'!$C$7)</f>
        <v/>
      </c>
      <c r="D12" s="24">
        <f>100*C12</f>
        <v/>
      </c>
      <c r="E12" s="24">
        <f>D12*'Допущения'!$C$6</f>
        <v/>
      </c>
      <c r="F12" s="20">
        <f>E12*'Выручка на заказ'!$C$18</f>
        <v/>
      </c>
      <c r="G12" s="20">
        <f>G11+F12/100</f>
        <v/>
      </c>
    </row>
    <row r="13">
      <c r="B13" s="23" t="n">
        <v>9</v>
      </c>
      <c r="C13" s="19">
        <f>MAX('Допущения'!$C$8,C12*'Допущения'!$C$7)</f>
        <v/>
      </c>
      <c r="D13" s="24">
        <f>100*C13</f>
        <v/>
      </c>
      <c r="E13" s="24">
        <f>D13*'Допущения'!$C$6</f>
        <v/>
      </c>
      <c r="F13" s="20">
        <f>E13*'Выручка на заказ'!$C$18</f>
        <v/>
      </c>
      <c r="G13" s="20">
        <f>G12+F13/100</f>
        <v/>
      </c>
    </row>
    <row r="14">
      <c r="B14" s="23" t="n">
        <v>10</v>
      </c>
      <c r="C14" s="19">
        <f>MAX('Допущения'!$C$8,C13*'Допущения'!$C$7)</f>
        <v/>
      </c>
      <c r="D14" s="24">
        <f>100*C14</f>
        <v/>
      </c>
      <c r="E14" s="24">
        <f>D14*'Допущения'!$C$6</f>
        <v/>
      </c>
      <c r="F14" s="20">
        <f>E14*'Выручка на заказ'!$C$18</f>
        <v/>
      </c>
      <c r="G14" s="20">
        <f>G13+F14/100</f>
        <v/>
      </c>
    </row>
    <row r="15">
      <c r="B15" s="23" t="n">
        <v>11</v>
      </c>
      <c r="C15" s="19">
        <f>MAX('Допущения'!$C$8,C14*'Допущения'!$C$7)</f>
        <v/>
      </c>
      <c r="D15" s="24">
        <f>100*C15</f>
        <v/>
      </c>
      <c r="E15" s="24">
        <f>D15*'Допущения'!$C$6</f>
        <v/>
      </c>
      <c r="F15" s="20">
        <f>E15*'Выручка на заказ'!$C$18</f>
        <v/>
      </c>
      <c r="G15" s="20">
        <f>G14+F15/100</f>
        <v/>
      </c>
    </row>
    <row r="16">
      <c r="B16" s="23" t="n">
        <v>12</v>
      </c>
      <c r="C16" s="19">
        <f>MAX('Допущения'!$C$8,C15*'Допущения'!$C$7)</f>
        <v/>
      </c>
      <c r="D16" s="24">
        <f>100*C16</f>
        <v/>
      </c>
      <c r="E16" s="24">
        <f>D16*'Допущения'!$C$6</f>
        <v/>
      </c>
      <c r="F16" s="20">
        <f>E16*'Выручка на заказ'!$C$18</f>
        <v/>
      </c>
      <c r="G16" s="20">
        <f>G15+F16/100</f>
        <v/>
      </c>
    </row>
    <row r="17">
      <c r="B17" s="23" t="n">
        <v>13</v>
      </c>
      <c r="C17" s="19">
        <f>MAX('Допущения'!$C$8,C16*'Допущения'!$C$7)</f>
        <v/>
      </c>
      <c r="D17" s="24">
        <f>100*C17</f>
        <v/>
      </c>
      <c r="E17" s="24">
        <f>D17*'Допущения'!$C$6</f>
        <v/>
      </c>
      <c r="F17" s="20">
        <f>E17*'Выручка на заказ'!$C$18</f>
        <v/>
      </c>
      <c r="G17" s="20">
        <f>G16+F17/100</f>
        <v/>
      </c>
    </row>
    <row r="18">
      <c r="B18" s="23" t="n">
        <v>14</v>
      </c>
      <c r="C18" s="19">
        <f>MAX('Допущения'!$C$8,C17*'Допущения'!$C$7)</f>
        <v/>
      </c>
      <c r="D18" s="24">
        <f>100*C18</f>
        <v/>
      </c>
      <c r="E18" s="24">
        <f>D18*'Допущения'!$C$6</f>
        <v/>
      </c>
      <c r="F18" s="20">
        <f>E18*'Выручка на заказ'!$C$18</f>
        <v/>
      </c>
      <c r="G18" s="20">
        <f>G17+F18/100</f>
        <v/>
      </c>
    </row>
    <row r="19">
      <c r="B19" s="23" t="n">
        <v>15</v>
      </c>
      <c r="C19" s="19">
        <f>MAX('Допущения'!$C$8,C18*'Допущения'!$C$7)</f>
        <v/>
      </c>
      <c r="D19" s="24">
        <f>100*C19</f>
        <v/>
      </c>
      <c r="E19" s="24">
        <f>D19*'Допущения'!$C$6</f>
        <v/>
      </c>
      <c r="F19" s="20">
        <f>E19*'Выручка на заказ'!$C$18</f>
        <v/>
      </c>
      <c r="G19" s="20">
        <f>G18+F19/100</f>
        <v/>
      </c>
    </row>
    <row r="20">
      <c r="B20" s="23" t="n">
        <v>16</v>
      </c>
      <c r="C20" s="19">
        <f>MAX('Допущения'!$C$8,C19*'Допущения'!$C$7)</f>
        <v/>
      </c>
      <c r="D20" s="24">
        <f>100*C20</f>
        <v/>
      </c>
      <c r="E20" s="24">
        <f>D20*'Допущения'!$C$6</f>
        <v/>
      </c>
      <c r="F20" s="20">
        <f>E20*'Выручка на заказ'!$C$18</f>
        <v/>
      </c>
      <c r="G20" s="20">
        <f>G19+F20/100</f>
        <v/>
      </c>
    </row>
    <row r="21">
      <c r="B21" s="23" t="n">
        <v>17</v>
      </c>
      <c r="C21" s="19">
        <f>MAX('Допущения'!$C$8,C20*'Допущения'!$C$7)</f>
        <v/>
      </c>
      <c r="D21" s="24">
        <f>100*C21</f>
        <v/>
      </c>
      <c r="E21" s="24">
        <f>D21*'Допущения'!$C$6</f>
        <v/>
      </c>
      <c r="F21" s="20">
        <f>E21*'Выручка на заказ'!$C$18</f>
        <v/>
      </c>
      <c r="G21" s="20">
        <f>G20+F21/100</f>
        <v/>
      </c>
    </row>
    <row r="22">
      <c r="B22" s="23" t="n">
        <v>18</v>
      </c>
      <c r="C22" s="19">
        <f>MAX('Допущения'!$C$8,C21*'Допущения'!$C$7)</f>
        <v/>
      </c>
      <c r="D22" s="24">
        <f>100*C22</f>
        <v/>
      </c>
      <c r="E22" s="24">
        <f>D22*'Допущения'!$C$6</f>
        <v/>
      </c>
      <c r="F22" s="20">
        <f>E22*'Выручка на заказ'!$C$18</f>
        <v/>
      </c>
      <c r="G22" s="20">
        <f>G21+F22/100</f>
        <v/>
      </c>
    </row>
    <row r="23">
      <c r="B23" s="23" t="n">
        <v>19</v>
      </c>
      <c r="C23" s="19">
        <f>MAX('Допущения'!$C$8,C22*'Допущения'!$C$7)</f>
        <v/>
      </c>
      <c r="D23" s="24">
        <f>100*C23</f>
        <v/>
      </c>
      <c r="E23" s="24">
        <f>D23*'Допущения'!$C$6</f>
        <v/>
      </c>
      <c r="F23" s="20">
        <f>E23*'Выручка на заказ'!$C$18</f>
        <v/>
      </c>
      <c r="G23" s="20">
        <f>G22+F23/100</f>
        <v/>
      </c>
    </row>
    <row r="24">
      <c r="B24" s="23" t="n">
        <v>20</v>
      </c>
      <c r="C24" s="19">
        <f>MAX('Допущения'!$C$8,C23*'Допущения'!$C$7)</f>
        <v/>
      </c>
      <c r="D24" s="24">
        <f>100*C24</f>
        <v/>
      </c>
      <c r="E24" s="24">
        <f>D24*'Допущения'!$C$6</f>
        <v/>
      </c>
      <c r="F24" s="20">
        <f>E24*'Выручка на заказ'!$C$18</f>
        <v/>
      </c>
      <c r="G24" s="20">
        <f>G23+F24/100</f>
        <v/>
      </c>
    </row>
    <row r="25">
      <c r="B25" s="23" t="n">
        <v>21</v>
      </c>
      <c r="C25" s="19">
        <f>MAX('Допущения'!$C$8,C24*'Допущения'!$C$7)</f>
        <v/>
      </c>
      <c r="D25" s="24">
        <f>100*C25</f>
        <v/>
      </c>
      <c r="E25" s="24">
        <f>D25*'Допущения'!$C$6</f>
        <v/>
      </c>
      <c r="F25" s="20">
        <f>E25*'Выручка на заказ'!$C$18</f>
        <v/>
      </c>
      <c r="G25" s="20">
        <f>G24+F25/100</f>
        <v/>
      </c>
    </row>
    <row r="26">
      <c r="B26" s="23" t="n">
        <v>22</v>
      </c>
      <c r="C26" s="19">
        <f>MAX('Допущения'!$C$8,C25*'Допущения'!$C$7)</f>
        <v/>
      </c>
      <c r="D26" s="24">
        <f>100*C26</f>
        <v/>
      </c>
      <c r="E26" s="24">
        <f>D26*'Допущения'!$C$6</f>
        <v/>
      </c>
      <c r="F26" s="20">
        <f>E26*'Выручка на заказ'!$C$18</f>
        <v/>
      </c>
      <c r="G26" s="20">
        <f>G25+F26/100</f>
        <v/>
      </c>
    </row>
    <row r="27">
      <c r="B27" s="23" t="n">
        <v>23</v>
      </c>
      <c r="C27" s="19">
        <f>MAX('Допущения'!$C$8,C26*'Допущения'!$C$7)</f>
        <v/>
      </c>
      <c r="D27" s="24">
        <f>100*C27</f>
        <v/>
      </c>
      <c r="E27" s="24">
        <f>D27*'Допущения'!$C$6</f>
        <v/>
      </c>
      <c r="F27" s="20">
        <f>E27*'Выручка на заказ'!$C$18</f>
        <v/>
      </c>
      <c r="G27" s="20">
        <f>G26+F27/100</f>
        <v/>
      </c>
    </row>
    <row r="28">
      <c r="B28" s="23" t="n">
        <v>24</v>
      </c>
      <c r="C28" s="19">
        <f>MAX('Допущения'!$C$8,C27*'Допущения'!$C$7)</f>
        <v/>
      </c>
      <c r="D28" s="24">
        <f>100*C28</f>
        <v/>
      </c>
      <c r="E28" s="24">
        <f>D28*'Допущения'!$C$6</f>
        <v/>
      </c>
      <c r="F28" s="20">
        <f>E28*'Выручка на заказ'!$C$18</f>
        <v/>
      </c>
      <c r="G28" s="20">
        <f>G27+F28/100</f>
        <v/>
      </c>
    </row>
    <row r="30">
      <c r="B30" s="25" t="inlineStr">
        <is>
          <t>LTV на горизонте 24 мес, ₽/клиент</t>
        </is>
      </c>
      <c r="C30" s="26">
        <f>G28</f>
        <v/>
      </c>
    </row>
    <row r="31">
      <c r="B31" s="6" t="inlineStr">
        <is>
          <t>Месячный вклад активного клиента, ₽</t>
        </is>
      </c>
      <c r="C31" s="27">
        <f>'Допущения'!$C$6*'Выручка на заказ'!$C$18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6" customWidth="1" min="3" max="3"/>
    <col width="66" customWidth="1" min="4" max="4"/>
  </cols>
  <sheetData>
    <row r="1">
      <c r="A1" s="5" t="inlineStr">
        <is>
          <t>Сводка юнит-экономики</t>
        </is>
      </c>
    </row>
    <row r="2">
      <c r="A2" s="6" t="inlineStr">
        <is>
          <t>Все значения — формулы; изменение любого допущения пересчитывает всё</t>
        </is>
      </c>
    </row>
    <row r="4">
      <c r="B4" s="7" t="inlineStr">
        <is>
          <t>КЛЮЧЕВЫЕ ПОКАЗАТЕЛИ</t>
        </is>
      </c>
      <c r="C4" s="8" t="n"/>
      <c r="D4" s="8" t="n"/>
    </row>
    <row r="5">
      <c r="B5" s="9" t="inlineStr">
        <is>
          <t>AOV, ₽</t>
        </is>
      </c>
      <c r="C5" s="20">
        <f>'Допущения'!$C$5</f>
        <v/>
      </c>
    </row>
    <row r="6">
      <c r="B6" s="9" t="inlineStr">
        <is>
          <t>Выручка платформы на заказ, ₽</t>
        </is>
      </c>
      <c r="C6" s="16">
        <f>'Выручка на заказ'!$C$9</f>
        <v/>
      </c>
    </row>
    <row r="7">
      <c r="B7" s="9" t="inlineStr">
        <is>
          <t>Эффективный take-rate</t>
        </is>
      </c>
      <c r="C7" s="19">
        <f>'Выручка на заказ'!$C$10</f>
        <v/>
      </c>
    </row>
    <row r="8">
      <c r="B8" s="9" t="inlineStr">
        <is>
          <t>Вклад на заказ, ₽</t>
        </is>
      </c>
      <c r="C8" s="16">
        <f>'Выручка на заказ'!$C$18</f>
        <v/>
      </c>
    </row>
    <row r="9">
      <c r="B9" s="9" t="inlineStr">
        <is>
          <t>LTV (24 мес), ₽</t>
        </is>
      </c>
      <c r="C9" s="20">
        <f>'Когорты LTV'!$C$30</f>
        <v/>
      </c>
    </row>
    <row r="10">
      <c r="B10" s="9" t="inlineStr">
        <is>
          <t>CAC (смешанный), ₽</t>
        </is>
      </c>
      <c r="C10" s="20">
        <f>'CAC'!$C$12</f>
        <v/>
      </c>
    </row>
    <row r="11">
      <c r="B11" s="9" t="inlineStr">
        <is>
          <t>LTV / CAC</t>
        </is>
      </c>
      <c r="C11" s="28">
        <f>'Когорты LTV'!$C$30/'CAC'!$C$12</f>
        <v/>
      </c>
    </row>
    <row r="12">
      <c r="B12" s="9" t="inlineStr">
        <is>
          <t>Окупаемость клиента (payback)</t>
        </is>
      </c>
      <c r="C12" s="29">
        <f>'CAC'!$C$12/'Когорты LTV'!$C$31</f>
        <v/>
      </c>
    </row>
    <row r="14">
      <c r="B14" s="6" t="inlineStr">
        <is>
          <t>Критерии здоровья: LTV/CAC &gt; 3× — хорошо; payback &lt; 6 мес — хорошо.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5" t="inlineStr">
        <is>
          <t>Район как юнит масштабирования</t>
        </is>
      </c>
    </row>
    <row r="2">
      <c r="A2" s="6" t="inlineStr">
        <is>
          <t>S-образный разгон до плато; когда район выходит в плюс</t>
        </is>
      </c>
    </row>
    <row r="4">
      <c r="B4" s="22" t="inlineStr">
        <is>
          <t>Месяц</t>
        </is>
      </c>
      <c r="C4" s="22" t="inlineStr">
        <is>
          <t>Заказов/день</t>
        </is>
      </c>
      <c r="D4" s="22" t="inlineStr">
        <is>
          <t>Заказов/мес</t>
        </is>
      </c>
      <c r="E4" s="22" t="inlineStr">
        <is>
          <t>Вклад, ₽/мес</t>
        </is>
      </c>
      <c r="F4" s="22" t="inlineStr">
        <is>
          <t>Маркетинг, ₽/мес</t>
        </is>
      </c>
      <c r="G4" s="22" t="inlineStr">
        <is>
          <t>Прибыль района, ₽</t>
        </is>
      </c>
      <c r="H4" s="22" t="inlineStr">
        <is>
          <t>Накопленно, ₽</t>
        </is>
      </c>
    </row>
    <row r="5">
      <c r="B5" s="23" t="n">
        <v>1</v>
      </c>
      <c r="C5" s="24">
        <f>'Допущения'!$C$42*B5^2/(B5^2+('Допущения'!$C$43/2)^2)</f>
        <v/>
      </c>
      <c r="D5" s="23">
        <f>C5*30</f>
        <v/>
      </c>
      <c r="E5" s="20">
        <f>D5*'Выручка на заказ'!$C$18</f>
        <v/>
      </c>
      <c r="F5" s="20">
        <f>'Допущения'!$C$44</f>
        <v/>
      </c>
      <c r="G5" s="20">
        <f>E5-F5</f>
        <v/>
      </c>
      <c r="H5" s="20">
        <f>G5</f>
        <v/>
      </c>
    </row>
    <row r="6">
      <c r="B6" s="23" t="n">
        <v>2</v>
      </c>
      <c r="C6" s="24">
        <f>'Допущения'!$C$42*B6^2/(B6^2+('Допущения'!$C$43/2)^2)</f>
        <v/>
      </c>
      <c r="D6" s="23">
        <f>C6*30</f>
        <v/>
      </c>
      <c r="E6" s="20">
        <f>D6*'Выручка на заказ'!$C$18</f>
        <v/>
      </c>
      <c r="F6" s="20">
        <f>'Допущения'!$C$44</f>
        <v/>
      </c>
      <c r="G6" s="20">
        <f>E6-F6</f>
        <v/>
      </c>
      <c r="H6" s="20">
        <f>H5+G6</f>
        <v/>
      </c>
    </row>
    <row r="7">
      <c r="B7" s="23" t="n">
        <v>3</v>
      </c>
      <c r="C7" s="24">
        <f>'Допущения'!$C$42*B7^2/(B7^2+('Допущения'!$C$43/2)^2)</f>
        <v/>
      </c>
      <c r="D7" s="23">
        <f>C7*30</f>
        <v/>
      </c>
      <c r="E7" s="20">
        <f>D7*'Выручка на заказ'!$C$18</f>
        <v/>
      </c>
      <c r="F7" s="20">
        <f>'Допущения'!$C$44</f>
        <v/>
      </c>
      <c r="G7" s="20">
        <f>E7-F7</f>
        <v/>
      </c>
      <c r="H7" s="20">
        <f>H6+G7</f>
        <v/>
      </c>
    </row>
    <row r="8">
      <c r="B8" s="23" t="n">
        <v>4</v>
      </c>
      <c r="C8" s="24">
        <f>'Допущения'!$C$42*B8^2/(B8^2+('Допущения'!$C$43/2)^2)</f>
        <v/>
      </c>
      <c r="D8" s="23">
        <f>C8*30</f>
        <v/>
      </c>
      <c r="E8" s="20">
        <f>D8*'Выручка на заказ'!$C$18</f>
        <v/>
      </c>
      <c r="F8" s="20">
        <f>'Допущения'!$C$44</f>
        <v/>
      </c>
      <c r="G8" s="20">
        <f>E8-F8</f>
        <v/>
      </c>
      <c r="H8" s="20">
        <f>H7+G8</f>
        <v/>
      </c>
    </row>
    <row r="9">
      <c r="B9" s="23" t="n">
        <v>5</v>
      </c>
      <c r="C9" s="24">
        <f>'Допущения'!$C$42*B9^2/(B9^2+('Допущения'!$C$43/2)^2)</f>
        <v/>
      </c>
      <c r="D9" s="23">
        <f>C9*30</f>
        <v/>
      </c>
      <c r="E9" s="20">
        <f>D9*'Выручка на заказ'!$C$18</f>
        <v/>
      </c>
      <c r="F9" s="20">
        <f>'Допущения'!$C$44</f>
        <v/>
      </c>
      <c r="G9" s="20">
        <f>E9-F9</f>
        <v/>
      </c>
      <c r="H9" s="20">
        <f>H8+G9</f>
        <v/>
      </c>
    </row>
    <row r="10">
      <c r="B10" s="23" t="n">
        <v>6</v>
      </c>
      <c r="C10" s="24">
        <f>'Допущения'!$C$42*B10^2/(B10^2+('Допущения'!$C$43/2)^2)</f>
        <v/>
      </c>
      <c r="D10" s="23">
        <f>C10*30</f>
        <v/>
      </c>
      <c r="E10" s="20">
        <f>D10*'Выручка на заказ'!$C$18</f>
        <v/>
      </c>
      <c r="F10" s="20">
        <f>'Допущения'!$C$44</f>
        <v/>
      </c>
      <c r="G10" s="20">
        <f>E10-F10</f>
        <v/>
      </c>
      <c r="H10" s="20">
        <f>H9+G10</f>
        <v/>
      </c>
    </row>
    <row r="11">
      <c r="B11" s="23" t="n">
        <v>7</v>
      </c>
      <c r="C11" s="24">
        <f>'Допущения'!$C$42*B11^2/(B11^2+('Допущения'!$C$43/2)^2)</f>
        <v/>
      </c>
      <c r="D11" s="23">
        <f>C11*30</f>
        <v/>
      </c>
      <c r="E11" s="20">
        <f>D11*'Выручка на заказ'!$C$18</f>
        <v/>
      </c>
      <c r="F11" s="20">
        <f>'Допущения'!$C$44</f>
        <v/>
      </c>
      <c r="G11" s="20">
        <f>E11-F11</f>
        <v/>
      </c>
      <c r="H11" s="20">
        <f>H10+G11</f>
        <v/>
      </c>
    </row>
    <row r="12">
      <c r="B12" s="23" t="n">
        <v>8</v>
      </c>
      <c r="C12" s="24">
        <f>'Допущения'!$C$42*B12^2/(B12^2+('Допущения'!$C$43/2)^2)</f>
        <v/>
      </c>
      <c r="D12" s="23">
        <f>C12*30</f>
        <v/>
      </c>
      <c r="E12" s="20">
        <f>D12*'Выручка на заказ'!$C$18</f>
        <v/>
      </c>
      <c r="F12" s="20">
        <f>'Допущения'!$C$44</f>
        <v/>
      </c>
      <c r="G12" s="20">
        <f>E12-F12</f>
        <v/>
      </c>
      <c r="H12" s="20">
        <f>H11+G12</f>
        <v/>
      </c>
    </row>
    <row r="13">
      <c r="B13" s="23" t="n">
        <v>9</v>
      </c>
      <c r="C13" s="24">
        <f>'Допущения'!$C$42*B13^2/(B13^2+('Допущения'!$C$43/2)^2)</f>
        <v/>
      </c>
      <c r="D13" s="23">
        <f>C13*30</f>
        <v/>
      </c>
      <c r="E13" s="20">
        <f>D13*'Выручка на заказ'!$C$18</f>
        <v/>
      </c>
      <c r="F13" s="20">
        <f>'Допущения'!$C$44</f>
        <v/>
      </c>
      <c r="G13" s="20">
        <f>E13-F13</f>
        <v/>
      </c>
      <c r="H13" s="20">
        <f>H12+G13</f>
        <v/>
      </c>
    </row>
    <row r="14">
      <c r="B14" s="23" t="n">
        <v>10</v>
      </c>
      <c r="C14" s="24">
        <f>'Допущения'!$C$42*B14^2/(B14^2+('Допущения'!$C$43/2)^2)</f>
        <v/>
      </c>
      <c r="D14" s="23">
        <f>C14*30</f>
        <v/>
      </c>
      <c r="E14" s="20">
        <f>D14*'Выручка на заказ'!$C$18</f>
        <v/>
      </c>
      <c r="F14" s="20">
        <f>'Допущения'!$C$44</f>
        <v/>
      </c>
      <c r="G14" s="20">
        <f>E14-F14</f>
        <v/>
      </c>
      <c r="H14" s="20">
        <f>H13+G14</f>
        <v/>
      </c>
    </row>
    <row r="15">
      <c r="B15" s="23" t="n">
        <v>11</v>
      </c>
      <c r="C15" s="24">
        <f>'Допущения'!$C$42*B15^2/(B15^2+('Допущения'!$C$43/2)^2)</f>
        <v/>
      </c>
      <c r="D15" s="23">
        <f>C15*30</f>
        <v/>
      </c>
      <c r="E15" s="20">
        <f>D15*'Выручка на заказ'!$C$18</f>
        <v/>
      </c>
      <c r="F15" s="20">
        <f>'Допущения'!$C$44</f>
        <v/>
      </c>
      <c r="G15" s="20">
        <f>E15-F15</f>
        <v/>
      </c>
      <c r="H15" s="20">
        <f>H14+G15</f>
        <v/>
      </c>
    </row>
    <row r="16">
      <c r="B16" s="23" t="n">
        <v>12</v>
      </c>
      <c r="C16" s="24">
        <f>'Допущения'!$C$42*B16^2/(B16^2+('Допущения'!$C$43/2)^2)</f>
        <v/>
      </c>
      <c r="D16" s="23">
        <f>C16*30</f>
        <v/>
      </c>
      <c r="E16" s="20">
        <f>D16*'Выручка на заказ'!$C$18</f>
        <v/>
      </c>
      <c r="F16" s="20">
        <f>'Допущения'!$C$44</f>
        <v/>
      </c>
      <c r="G16" s="20">
        <f>E16-F16</f>
        <v/>
      </c>
      <c r="H16" s="20">
        <f>H15+G16</f>
        <v/>
      </c>
    </row>
    <row r="18">
      <c r="B18" s="25" t="inlineStr">
        <is>
          <t>Прибыль района на плато, ₽/мес</t>
        </is>
      </c>
      <c r="C18" s="26">
        <f>G16</f>
        <v/>
      </c>
    </row>
    <row r="19">
      <c r="B19" s="6" t="inlineStr">
        <is>
          <t>Месяц выхода в операционный плюс</t>
        </is>
      </c>
      <c r="C19" s="30">
        <f>MATCH(TRUE,INDEX(G5:G16&gt;0,0),0)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LTV/CAC при разных удержании и чеке</t>
        </is>
      </c>
    </row>
    <row r="2">
      <c r="A2" s="6" t="inlineStr">
        <is>
          <t>Сетка формул: строки — retention decay, столбцы — AOV</t>
        </is>
      </c>
    </row>
    <row r="4">
      <c r="B4" s="31" t="inlineStr">
        <is>
          <t>Помощник: Σ retention (24 мес)</t>
        </is>
      </c>
      <c r="AB4" s="31" t="inlineStr">
        <is>
          <t>Σ</t>
        </is>
      </c>
    </row>
    <row r="5">
      <c r="B5" s="32" t="n">
        <v>0.8</v>
      </c>
      <c r="C5" t="n">
        <v>1</v>
      </c>
      <c r="D5">
        <f>MAX('Допущения'!$C$8,C5*$B$5)</f>
        <v/>
      </c>
      <c r="E5">
        <f>MAX('Допущения'!$C$8,D5*$B$5)</f>
        <v/>
      </c>
      <c r="F5">
        <f>MAX('Допущения'!$C$8,E5*$B$5)</f>
        <v/>
      </c>
      <c r="G5">
        <f>MAX('Допущения'!$C$8,F5*$B$5)</f>
        <v/>
      </c>
      <c r="H5">
        <f>MAX('Допущения'!$C$8,G5*$B$5)</f>
        <v/>
      </c>
      <c r="I5">
        <f>MAX('Допущения'!$C$8,H5*$B$5)</f>
        <v/>
      </c>
      <c r="J5">
        <f>MAX('Допущения'!$C$8,I5*$B$5)</f>
        <v/>
      </c>
      <c r="K5">
        <f>MAX('Допущения'!$C$8,J5*$B$5)</f>
        <v/>
      </c>
      <c r="L5">
        <f>MAX('Допущения'!$C$8,K5*$B$5)</f>
        <v/>
      </c>
      <c r="M5">
        <f>MAX('Допущения'!$C$8,L5*$B$5)</f>
        <v/>
      </c>
      <c r="N5">
        <f>MAX('Допущения'!$C$8,M5*$B$5)</f>
        <v/>
      </c>
      <c r="O5">
        <f>MAX('Допущения'!$C$8,N5*$B$5)</f>
        <v/>
      </c>
      <c r="P5">
        <f>MAX('Допущения'!$C$8,O5*$B$5)</f>
        <v/>
      </c>
      <c r="Q5">
        <f>MAX('Допущения'!$C$8,P5*$B$5)</f>
        <v/>
      </c>
      <c r="R5">
        <f>MAX('Допущения'!$C$8,Q5*$B$5)</f>
        <v/>
      </c>
      <c r="S5">
        <f>MAX('Допущения'!$C$8,R5*$B$5)</f>
        <v/>
      </c>
      <c r="T5">
        <f>MAX('Допущения'!$C$8,S5*$B$5)</f>
        <v/>
      </c>
      <c r="U5">
        <f>MAX('Допущения'!$C$8,T5*$B$5)</f>
        <v/>
      </c>
      <c r="V5">
        <f>MAX('Допущения'!$C$8,U5*$B$5)</f>
        <v/>
      </c>
      <c r="W5">
        <f>MAX('Допущения'!$C$8,V5*$B$5)</f>
        <v/>
      </c>
      <c r="X5">
        <f>MAX('Допущения'!$C$8,W5*$B$5)</f>
        <v/>
      </c>
      <c r="Y5">
        <f>MAX('Допущения'!$C$8,X5*$B$5)</f>
        <v/>
      </c>
      <c r="Z5">
        <f>MAX('Допущения'!$C$8,Y5*$B$5)</f>
        <v/>
      </c>
      <c r="AB5" s="33">
        <f>SUM(C5:AA5)</f>
        <v/>
      </c>
    </row>
    <row r="6">
      <c r="B6" s="32" t="n">
        <v>0.83</v>
      </c>
      <c r="C6" t="n">
        <v>1</v>
      </c>
      <c r="D6">
        <f>MAX('Допущения'!$C$8,C6*$B$6)</f>
        <v/>
      </c>
      <c r="E6">
        <f>MAX('Допущения'!$C$8,D6*$B$6)</f>
        <v/>
      </c>
      <c r="F6">
        <f>MAX('Допущения'!$C$8,E6*$B$6)</f>
        <v/>
      </c>
      <c r="G6">
        <f>MAX('Допущения'!$C$8,F6*$B$6)</f>
        <v/>
      </c>
      <c r="H6">
        <f>MAX('Допущения'!$C$8,G6*$B$6)</f>
        <v/>
      </c>
      <c r="I6">
        <f>MAX('Допущения'!$C$8,H6*$B$6)</f>
        <v/>
      </c>
      <c r="J6">
        <f>MAX('Допущения'!$C$8,I6*$B$6)</f>
        <v/>
      </c>
      <c r="K6">
        <f>MAX('Допущения'!$C$8,J6*$B$6)</f>
        <v/>
      </c>
      <c r="L6">
        <f>MAX('Допущения'!$C$8,K6*$B$6)</f>
        <v/>
      </c>
      <c r="M6">
        <f>MAX('Допущения'!$C$8,L6*$B$6)</f>
        <v/>
      </c>
      <c r="N6">
        <f>MAX('Допущения'!$C$8,M6*$B$6)</f>
        <v/>
      </c>
      <c r="O6">
        <f>MAX('Допущения'!$C$8,N6*$B$6)</f>
        <v/>
      </c>
      <c r="P6">
        <f>MAX('Допущения'!$C$8,O6*$B$6)</f>
        <v/>
      </c>
      <c r="Q6">
        <f>MAX('Допущения'!$C$8,P6*$B$6)</f>
        <v/>
      </c>
      <c r="R6">
        <f>MAX('Допущения'!$C$8,Q6*$B$6)</f>
        <v/>
      </c>
      <c r="S6">
        <f>MAX('Допущения'!$C$8,R6*$B$6)</f>
        <v/>
      </c>
      <c r="T6">
        <f>MAX('Допущения'!$C$8,S6*$B$6)</f>
        <v/>
      </c>
      <c r="U6">
        <f>MAX('Допущения'!$C$8,T6*$B$6)</f>
        <v/>
      </c>
      <c r="V6">
        <f>MAX('Допущения'!$C$8,U6*$B$6)</f>
        <v/>
      </c>
      <c r="W6">
        <f>MAX('Допущения'!$C$8,V6*$B$6)</f>
        <v/>
      </c>
      <c r="X6">
        <f>MAX('Допущения'!$C$8,W6*$B$6)</f>
        <v/>
      </c>
      <c r="Y6">
        <f>MAX('Допущения'!$C$8,X6*$B$6)</f>
        <v/>
      </c>
      <c r="Z6">
        <f>MAX('Допущения'!$C$8,Y6*$B$6)</f>
        <v/>
      </c>
      <c r="AB6" s="33">
        <f>SUM(C6:AA6)</f>
        <v/>
      </c>
    </row>
    <row r="7">
      <c r="B7" s="32" t="n">
        <v>0.86</v>
      </c>
      <c r="C7" t="n">
        <v>1</v>
      </c>
      <c r="D7">
        <f>MAX('Допущения'!$C$8,C7*$B$7)</f>
        <v/>
      </c>
      <c r="E7">
        <f>MAX('Допущения'!$C$8,D7*$B$7)</f>
        <v/>
      </c>
      <c r="F7">
        <f>MAX('Допущения'!$C$8,E7*$B$7)</f>
        <v/>
      </c>
      <c r="G7">
        <f>MAX('Допущения'!$C$8,F7*$B$7)</f>
        <v/>
      </c>
      <c r="H7">
        <f>MAX('Допущения'!$C$8,G7*$B$7)</f>
        <v/>
      </c>
      <c r="I7">
        <f>MAX('Допущения'!$C$8,H7*$B$7)</f>
        <v/>
      </c>
      <c r="J7">
        <f>MAX('Допущения'!$C$8,I7*$B$7)</f>
        <v/>
      </c>
      <c r="K7">
        <f>MAX('Допущения'!$C$8,J7*$B$7)</f>
        <v/>
      </c>
      <c r="L7">
        <f>MAX('Допущения'!$C$8,K7*$B$7)</f>
        <v/>
      </c>
      <c r="M7">
        <f>MAX('Допущения'!$C$8,L7*$B$7)</f>
        <v/>
      </c>
      <c r="N7">
        <f>MAX('Допущения'!$C$8,M7*$B$7)</f>
        <v/>
      </c>
      <c r="O7">
        <f>MAX('Допущения'!$C$8,N7*$B$7)</f>
        <v/>
      </c>
      <c r="P7">
        <f>MAX('Допущения'!$C$8,O7*$B$7)</f>
        <v/>
      </c>
      <c r="Q7">
        <f>MAX('Допущения'!$C$8,P7*$B$7)</f>
        <v/>
      </c>
      <c r="R7">
        <f>MAX('Допущения'!$C$8,Q7*$B$7)</f>
        <v/>
      </c>
      <c r="S7">
        <f>MAX('Допущения'!$C$8,R7*$B$7)</f>
        <v/>
      </c>
      <c r="T7">
        <f>MAX('Допущения'!$C$8,S7*$B$7)</f>
        <v/>
      </c>
      <c r="U7">
        <f>MAX('Допущения'!$C$8,T7*$B$7)</f>
        <v/>
      </c>
      <c r="V7">
        <f>MAX('Допущения'!$C$8,U7*$B$7)</f>
        <v/>
      </c>
      <c r="W7">
        <f>MAX('Допущения'!$C$8,V7*$B$7)</f>
        <v/>
      </c>
      <c r="X7">
        <f>MAX('Допущения'!$C$8,W7*$B$7)</f>
        <v/>
      </c>
      <c r="Y7">
        <f>MAX('Допущения'!$C$8,X7*$B$7)</f>
        <v/>
      </c>
      <c r="Z7">
        <f>MAX('Допущения'!$C$8,Y7*$B$7)</f>
        <v/>
      </c>
      <c r="AB7" s="33">
        <f>SUM(C7:AA7)</f>
        <v/>
      </c>
    </row>
    <row r="8">
      <c r="B8" s="32" t="n">
        <v>0.89</v>
      </c>
      <c r="C8" t="n">
        <v>1</v>
      </c>
      <c r="D8">
        <f>MAX('Допущения'!$C$8,C8*$B$8)</f>
        <v/>
      </c>
      <c r="E8">
        <f>MAX('Допущения'!$C$8,D8*$B$8)</f>
        <v/>
      </c>
      <c r="F8">
        <f>MAX('Допущения'!$C$8,E8*$B$8)</f>
        <v/>
      </c>
      <c r="G8">
        <f>MAX('Допущения'!$C$8,F8*$B$8)</f>
        <v/>
      </c>
      <c r="H8">
        <f>MAX('Допущения'!$C$8,G8*$B$8)</f>
        <v/>
      </c>
      <c r="I8">
        <f>MAX('Допущения'!$C$8,H8*$B$8)</f>
        <v/>
      </c>
      <c r="J8">
        <f>MAX('Допущения'!$C$8,I8*$B$8)</f>
        <v/>
      </c>
      <c r="K8">
        <f>MAX('Допущения'!$C$8,J8*$B$8)</f>
        <v/>
      </c>
      <c r="L8">
        <f>MAX('Допущения'!$C$8,K8*$B$8)</f>
        <v/>
      </c>
      <c r="M8">
        <f>MAX('Допущения'!$C$8,L8*$B$8)</f>
        <v/>
      </c>
      <c r="N8">
        <f>MAX('Допущения'!$C$8,M8*$B$8)</f>
        <v/>
      </c>
      <c r="O8">
        <f>MAX('Допущения'!$C$8,N8*$B$8)</f>
        <v/>
      </c>
      <c r="P8">
        <f>MAX('Допущения'!$C$8,O8*$B$8)</f>
        <v/>
      </c>
      <c r="Q8">
        <f>MAX('Допущения'!$C$8,P8*$B$8)</f>
        <v/>
      </c>
      <c r="R8">
        <f>MAX('Допущения'!$C$8,Q8*$B$8)</f>
        <v/>
      </c>
      <c r="S8">
        <f>MAX('Допущения'!$C$8,R8*$B$8)</f>
        <v/>
      </c>
      <c r="T8">
        <f>MAX('Допущения'!$C$8,S8*$B$8)</f>
        <v/>
      </c>
      <c r="U8">
        <f>MAX('Допущения'!$C$8,T8*$B$8)</f>
        <v/>
      </c>
      <c r="V8">
        <f>MAX('Допущения'!$C$8,U8*$B$8)</f>
        <v/>
      </c>
      <c r="W8">
        <f>MAX('Допущения'!$C$8,V8*$B$8)</f>
        <v/>
      </c>
      <c r="X8">
        <f>MAX('Допущения'!$C$8,W8*$B$8)</f>
        <v/>
      </c>
      <c r="Y8">
        <f>MAX('Допущения'!$C$8,X8*$B$8)</f>
        <v/>
      </c>
      <c r="Z8">
        <f>MAX('Допущения'!$C$8,Y8*$B$8)</f>
        <v/>
      </c>
      <c r="AB8" s="33">
        <f>SUM(C8:AA8)</f>
        <v/>
      </c>
    </row>
    <row r="9">
      <c r="B9" s="32" t="n">
        <v>0.92</v>
      </c>
      <c r="C9" t="n">
        <v>1</v>
      </c>
      <c r="D9">
        <f>MAX('Допущения'!$C$8,C9*$B$9)</f>
        <v/>
      </c>
      <c r="E9">
        <f>MAX('Допущения'!$C$8,D9*$B$9)</f>
        <v/>
      </c>
      <c r="F9">
        <f>MAX('Допущения'!$C$8,E9*$B$9)</f>
        <v/>
      </c>
      <c r="G9">
        <f>MAX('Допущения'!$C$8,F9*$B$9)</f>
        <v/>
      </c>
      <c r="H9">
        <f>MAX('Допущения'!$C$8,G9*$B$9)</f>
        <v/>
      </c>
      <c r="I9">
        <f>MAX('Допущения'!$C$8,H9*$B$9)</f>
        <v/>
      </c>
      <c r="J9">
        <f>MAX('Допущения'!$C$8,I9*$B$9)</f>
        <v/>
      </c>
      <c r="K9">
        <f>MAX('Допущения'!$C$8,J9*$B$9)</f>
        <v/>
      </c>
      <c r="L9">
        <f>MAX('Допущения'!$C$8,K9*$B$9)</f>
        <v/>
      </c>
      <c r="M9">
        <f>MAX('Допущения'!$C$8,L9*$B$9)</f>
        <v/>
      </c>
      <c r="N9">
        <f>MAX('Допущения'!$C$8,M9*$B$9)</f>
        <v/>
      </c>
      <c r="O9">
        <f>MAX('Допущения'!$C$8,N9*$B$9)</f>
        <v/>
      </c>
      <c r="P9">
        <f>MAX('Допущения'!$C$8,O9*$B$9)</f>
        <v/>
      </c>
      <c r="Q9">
        <f>MAX('Допущения'!$C$8,P9*$B$9)</f>
        <v/>
      </c>
      <c r="R9">
        <f>MAX('Допущения'!$C$8,Q9*$B$9)</f>
        <v/>
      </c>
      <c r="S9">
        <f>MAX('Допущения'!$C$8,R9*$B$9)</f>
        <v/>
      </c>
      <c r="T9">
        <f>MAX('Допущения'!$C$8,S9*$B$9)</f>
        <v/>
      </c>
      <c r="U9">
        <f>MAX('Допущения'!$C$8,T9*$B$9)</f>
        <v/>
      </c>
      <c r="V9">
        <f>MAX('Допущения'!$C$8,U9*$B$9)</f>
        <v/>
      </c>
      <c r="W9">
        <f>MAX('Допущения'!$C$8,V9*$B$9)</f>
        <v/>
      </c>
      <c r="X9">
        <f>MAX('Допущения'!$C$8,W9*$B$9)</f>
        <v/>
      </c>
      <c r="Y9">
        <f>MAX('Допущения'!$C$8,X9*$B$9)</f>
        <v/>
      </c>
      <c r="Z9">
        <f>MAX('Допущения'!$C$8,Y9*$B$9)</f>
        <v/>
      </c>
      <c r="AB9" s="33">
        <f>SUM(C9:AA9)</f>
        <v/>
      </c>
    </row>
    <row r="12">
      <c r="B12" s="34" t="inlineStr">
        <is>
          <t>LTV / CAC</t>
        </is>
      </c>
      <c r="C12" s="35" t="n">
        <v>1000</v>
      </c>
      <c r="D12" s="35" t="n">
        <v>1250</v>
      </c>
      <c r="E12" s="35" t="n">
        <v>1500</v>
      </c>
    </row>
    <row r="13">
      <c r="B13" s="32" t="n">
        <v>0.8</v>
      </c>
      <c r="C13" s="36">
        <f>'Допущения'!$C$6*(C12*'Допущения'!$C$12+'Допущения'!$C$13/'Допущения'!$C$14+'Допущения'!$C$15/'Допущения'!$C$14+'Допущения'!$C$17*'Допущения'!$C$16/'Допущения'!$C$6-C12*'Допущения'!$C$20-'Допущения'!$C$21-C12*'Допущения'!$C$12*'Допущения'!$C$22)*$AB$5/'CAC'!$C$12</f>
        <v/>
      </c>
      <c r="D13" s="36">
        <f>'Допущения'!$C$6*(D12*'Допущения'!$C$12+'Допущения'!$C$13/'Допущения'!$C$14+'Допущения'!$C$15/'Допущения'!$C$14+'Допущения'!$C$17*'Допущения'!$C$16/'Допущения'!$C$6-D12*'Допущения'!$C$20-'Допущения'!$C$21-D12*'Допущения'!$C$12*'Допущения'!$C$22)*$AB$5/'CAC'!$C$12</f>
        <v/>
      </c>
      <c r="E13" s="36">
        <f>'Допущения'!$C$6*(E12*'Допущения'!$C$12+'Допущения'!$C$13/'Допущения'!$C$14+'Допущения'!$C$15/'Допущения'!$C$14+'Допущения'!$C$17*'Допущения'!$C$16/'Допущения'!$C$6-E12*'Допущения'!$C$20-'Допущения'!$C$21-E12*'Допущения'!$C$12*'Допущения'!$C$22)*$AB$5/'CAC'!$C$12</f>
        <v/>
      </c>
    </row>
    <row r="14">
      <c r="B14" s="32" t="n">
        <v>0.83</v>
      </c>
      <c r="C14" s="36">
        <f>'Допущения'!$C$6*(C12*'Допущения'!$C$12+'Допущения'!$C$13/'Допущения'!$C$14+'Допущения'!$C$15/'Допущения'!$C$14+'Допущения'!$C$17*'Допущения'!$C$16/'Допущения'!$C$6-C12*'Допущения'!$C$20-'Допущения'!$C$21-C12*'Допущения'!$C$12*'Допущения'!$C$22)*$AB$6/'CAC'!$C$12</f>
        <v/>
      </c>
      <c r="D14" s="36">
        <f>'Допущения'!$C$6*(D12*'Допущения'!$C$12+'Допущения'!$C$13/'Допущения'!$C$14+'Допущения'!$C$15/'Допущения'!$C$14+'Допущения'!$C$17*'Допущения'!$C$16/'Допущения'!$C$6-D12*'Допущения'!$C$20-'Допущения'!$C$21-D12*'Допущения'!$C$12*'Допущения'!$C$22)*$AB$6/'CAC'!$C$12</f>
        <v/>
      </c>
      <c r="E14" s="36">
        <f>'Допущения'!$C$6*(E12*'Допущения'!$C$12+'Допущения'!$C$13/'Допущения'!$C$14+'Допущения'!$C$15/'Допущения'!$C$14+'Допущения'!$C$17*'Допущения'!$C$16/'Допущения'!$C$6-E12*'Допущения'!$C$20-'Допущения'!$C$21-E12*'Допущения'!$C$12*'Допущения'!$C$22)*$AB$6/'CAC'!$C$12</f>
        <v/>
      </c>
    </row>
    <row r="15">
      <c r="B15" s="32" t="n">
        <v>0.86</v>
      </c>
      <c r="C15" s="36">
        <f>'Допущения'!$C$6*(C12*'Допущения'!$C$12+'Допущения'!$C$13/'Допущения'!$C$14+'Допущения'!$C$15/'Допущения'!$C$14+'Допущения'!$C$17*'Допущения'!$C$16/'Допущения'!$C$6-C12*'Допущения'!$C$20-'Допущения'!$C$21-C12*'Допущения'!$C$12*'Допущения'!$C$22)*$AB$7/'CAC'!$C$12</f>
        <v/>
      </c>
      <c r="D15" s="36">
        <f>'Допущения'!$C$6*(D12*'Допущения'!$C$12+'Допущения'!$C$13/'Допущения'!$C$14+'Допущения'!$C$15/'Допущения'!$C$14+'Допущения'!$C$17*'Допущения'!$C$16/'Допущения'!$C$6-D12*'Допущения'!$C$20-'Допущения'!$C$21-D12*'Допущения'!$C$12*'Допущения'!$C$22)*$AB$7/'CAC'!$C$12</f>
        <v/>
      </c>
      <c r="E15" s="36">
        <f>'Допущения'!$C$6*(E12*'Допущения'!$C$12+'Допущения'!$C$13/'Допущения'!$C$14+'Допущения'!$C$15/'Допущения'!$C$14+'Допущения'!$C$17*'Допущения'!$C$16/'Допущения'!$C$6-E12*'Допущения'!$C$20-'Допущения'!$C$21-E12*'Допущения'!$C$12*'Допущения'!$C$22)*$AB$7/'CAC'!$C$12</f>
        <v/>
      </c>
    </row>
    <row r="16">
      <c r="B16" s="32" t="n">
        <v>0.89</v>
      </c>
      <c r="C16" s="36">
        <f>'Допущения'!$C$6*(C12*'Допущения'!$C$12+'Допущения'!$C$13/'Допущения'!$C$14+'Допущения'!$C$15/'Допущения'!$C$14+'Допущения'!$C$17*'Допущения'!$C$16/'Допущения'!$C$6-C12*'Допущения'!$C$20-'Допущения'!$C$21-C12*'Допущения'!$C$12*'Допущения'!$C$22)*$AB$8/'CAC'!$C$12</f>
        <v/>
      </c>
      <c r="D16" s="36">
        <f>'Допущения'!$C$6*(D12*'Допущения'!$C$12+'Допущения'!$C$13/'Допущения'!$C$14+'Допущения'!$C$15/'Допущения'!$C$14+'Допущения'!$C$17*'Допущения'!$C$16/'Допущения'!$C$6-D12*'Допущения'!$C$20-'Допущения'!$C$21-D12*'Допущения'!$C$12*'Допущения'!$C$22)*$AB$8/'CAC'!$C$12</f>
        <v/>
      </c>
      <c r="E16" s="36">
        <f>'Допущения'!$C$6*(E12*'Допущения'!$C$12+'Допущения'!$C$13/'Допущения'!$C$14+'Допущения'!$C$15/'Допущения'!$C$14+'Допущения'!$C$17*'Допущения'!$C$16/'Допущения'!$C$6-E12*'Допущения'!$C$20-'Допущения'!$C$21-E12*'Допущения'!$C$12*'Допущения'!$C$22)*$AB$8/'CAC'!$C$12</f>
        <v/>
      </c>
    </row>
    <row r="17">
      <c r="B17" s="32" t="n">
        <v>0.92</v>
      </c>
      <c r="C17" s="36">
        <f>'Допущения'!$C$6*(C12*'Допущения'!$C$12+'Допущения'!$C$13/'Допущения'!$C$14+'Допущения'!$C$15/'Допущения'!$C$14+'Допущения'!$C$17*'Допущения'!$C$16/'Допущения'!$C$6-C12*'Допущения'!$C$20-'Допущения'!$C$21-C12*'Допущения'!$C$12*'Допущения'!$C$22)*$AB$9/'CAC'!$C$12</f>
        <v/>
      </c>
      <c r="D17" s="36">
        <f>'Допущения'!$C$6*(D12*'Допущения'!$C$12+'Допущения'!$C$13/'Допущения'!$C$14+'Допущения'!$C$15/'Допущения'!$C$14+'Допущения'!$C$17*'Допущения'!$C$16/'Допущения'!$C$6-D12*'Допущения'!$C$20-'Допущения'!$C$21-D12*'Допущения'!$C$12*'Допущения'!$C$22)*$AB$9/'CAC'!$C$12</f>
        <v/>
      </c>
      <c r="E17" s="36">
        <f>'Допущения'!$C$6*(E12*'Допущения'!$C$12+'Допущения'!$C$13/'Допущения'!$C$14+'Допущения'!$C$15/'Допущения'!$C$14+'Допущения'!$C$17*'Допущения'!$C$16/'Допущения'!$C$6-E12*'Допущения'!$C$20-'Допущения'!$C$21-E12*'Допущения'!$C$12*'Допущения'!$C$22)*$AB$9/'CAC'!$C$12</f>
        <v/>
      </c>
    </row>
    <row r="19">
      <c r="B19" s="6" t="inlineStr">
        <is>
          <t>Зелёная зона &gt; 3×; базовый сценарий — центр сетки (decay 86%, AOV 1250).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2026-07-17T01:33:48Z</dcterms:created>
  <dcterms:modified xmlns:dcterms="http://purl.org/dc/terms/" xmlns:xsi="http://www.w3.org/2001/XMLSchema-instance" xsi:type="dcterms:W3CDTF">2026-07-17T01:33:48Z</dcterms:modified>
</cp:coreProperties>
</file>